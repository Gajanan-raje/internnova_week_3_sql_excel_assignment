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4"/>
    <sheet state="visible" name="Pivot Table 1" sheetId="2" r:id="rId5"/>
    <sheet state="visible" name="price_list" sheetId="3" r:id="rId6"/>
  </sheets>
  <definedNames>
    <definedName hidden="1" localSheetId="0" name="_xlnm._FilterDatabase">Sales_Data!$A$1:$E$13</definedName>
  </definedNames>
  <calcPr/>
  <pivotCaches>
    <pivotCache cacheId="0" r:id="rId7"/>
  </pivotCaches>
  <extLst>
    <ext uri="GoogleSheetsCustomDataVersion2">
      <go:sheetsCustomData xmlns:go="http://customooxmlschemas.google.com/" r:id="rId8" roundtripDataChecksum="Lr7nfVO+uGxjMveJzeNfP6/n0MUJIKHQZMyzNd3MTyo="/>
    </ext>
  </extLst>
</workbook>
</file>

<file path=xl/sharedStrings.xml><?xml version="1.0" encoding="utf-8"?>
<sst xmlns="http://schemas.openxmlformats.org/spreadsheetml/2006/main" count="48" uniqueCount="24">
  <si>
    <t>product</t>
  </si>
  <si>
    <t>price</t>
  </si>
  <si>
    <t>Date</t>
  </si>
  <si>
    <t>laptop</t>
  </si>
  <si>
    <t>Region</t>
  </si>
  <si>
    <t>Product</t>
  </si>
  <si>
    <t>Qty</t>
  </si>
  <si>
    <t>Amount</t>
  </si>
  <si>
    <t>Mouse</t>
  </si>
  <si>
    <t>category</t>
  </si>
  <si>
    <t>Keyboard</t>
  </si>
  <si>
    <t>Monitor</t>
  </si>
  <si>
    <t>Count of North</t>
  </si>
  <si>
    <t>Printer</t>
  </si>
  <si>
    <t>Total North Amoumt</t>
  </si>
  <si>
    <t>Price(vlookup)</t>
  </si>
  <si>
    <t>price(xlookup)</t>
  </si>
  <si>
    <t>North</t>
  </si>
  <si>
    <t>Laptop</t>
  </si>
  <si>
    <t>South</t>
  </si>
  <si>
    <t>East</t>
  </si>
  <si>
    <t>West</t>
  </si>
  <si>
    <t xml:space="preserve">SUM of  Amount 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</si>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</sst>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[$₹-4009]\ * #,##0.00_ ;_ [$₹-4009]\ * \-#,##0.00_ ;_ [$₹-4009]\ * &quot;-&quot;??_ ;_ @_ 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theme="0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3" numFmtId="0" xfId="0" applyFont="1"/>
    <xf borderId="1" fillId="2" fontId="2" numFmtId="164" xfId="0" applyAlignment="1" applyBorder="1" applyFill="1" applyFont="1" applyNumberFormat="1">
      <alignment horizontal="center"/>
    </xf>
    <xf borderId="2" fillId="3" fontId="1" numFmtId="0" xfId="0" applyBorder="1" applyFill="1" applyFont="1"/>
    <xf borderId="2" fillId="3" fontId="2" numFmtId="0" xfId="0" applyBorder="1" applyFill="1" applyFont="1"/>
    <xf borderId="1" fillId="0" fontId="4" numFmtId="14" xfId="0" applyBorder="1" applyFont="1" applyNumberFormat="1"/>
    <xf borderId="1" fillId="0" fontId="4" numFmtId="0" xfId="0" applyBorder="1" applyFont="1"/>
    <xf borderId="1" fillId="0" fontId="4" numFmtId="164" xfId="0" applyBorder="1" applyFont="1" applyNumberFormat="1"/>
    <xf borderId="0" fillId="0" fontId="3" numFmtId="164" xfId="0" applyFont="1" applyNumberForma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</xdr:colOff>
      <xdr:row>0</xdr:row>
      <xdr:rowOff>142875</xdr:rowOff>
    </xdr:from>
    <xdr:ext cx="5753100" cy="3533775"/>
    <xdr:pic>
      <xdr:nvPicPr>
        <xdr:cNvPr id="51596006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3" sheet="Sales_Data"/>
  </cacheSource>
  <cacheFields>
    <cacheField name="Date" numFmtId="14">
      <sharedItems containsSemiMixedTypes="0" containsDate="1" containsString="0">
        <d v="2026-09-01T00:00:00Z"/>
        <d v="2026-09-06T00:00:00Z"/>
        <d v="2026-09-11T00:00:00Z"/>
        <d v="2026-09-04T00:00:00Z"/>
        <d v="2026-09-07T00:00:00Z"/>
        <d v="2026-09-10T00:00:00Z"/>
        <d v="2026-09-05T00:00:00Z"/>
        <d v="2026-09-09T00:00:00Z"/>
        <d v="2026-09-08T00:00:00Z"/>
        <d v="2026-09-03T00:00:00Z"/>
        <d v="2026-09-12T00:00:00Z"/>
        <d v="2026-09-02T00:00:00Z"/>
      </sharedItems>
    </cacheField>
    <cacheField name="Region" numFmtId="0">
      <sharedItems>
        <s v="North"/>
        <s v="South"/>
        <s v="East"/>
        <s v="West"/>
      </sharedItems>
    </cacheField>
    <cacheField name="Product" numFmtId="0">
      <sharedItems>
        <s v="Laptop"/>
        <s v="Monitor"/>
        <s v="Printer"/>
        <s v="Keyboard"/>
        <s v="Mouse"/>
      </sharedItems>
    </cacheField>
    <cacheField name="Qty" numFmtId="0">
      <sharedItems containsSemiMixedTypes="0" containsString="0" containsNumber="1" containsInteger="1">
        <n v="2.0"/>
        <n v="1.0"/>
        <n v="3.0"/>
        <n v="8.0"/>
        <n v="20.0"/>
        <n v="5.0"/>
        <n v="4.0"/>
        <n v="10.0"/>
      </sharedItems>
    </cacheField>
    <cacheField name=" Amount " numFmtId="164">
      <sharedItems containsSemiMixedTypes="0" containsString="0" containsNumber="1" containsInteger="1">
        <n v="100000.0"/>
        <n v="50000.0"/>
        <n v="36000.0"/>
        <n v="24000.0"/>
        <n v="16000.0"/>
        <n v="12000.0"/>
        <n v="10000.0"/>
        <n v="7500.0"/>
        <n v="6000.0"/>
        <n v="5000.0"/>
      </sharedItems>
    </cacheField>
    <cacheField name="category" numFmtId="0">
      <sharedItems>
        <s v="High"/>
        <s v="Low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6" firstHeaderRow="0" firstDataRow="1" firstDataCol="0"/>
  <pivotFields>
    <pivotField name="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axis="axisRow" compact="0" outline="0" multipleItemSelectionAllowed="1" showAll="0" sortType="ascending">
      <items>
        <item x="2"/>
        <item x="0"/>
        <item x="1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 Amount 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t="default"/>
      </items>
    </pivotField>
  </pivotFields>
  <rowFields>
    <field x="1"/>
  </rowFields>
  <dataFields>
    <dataField name="SUM of  Amount 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7.14"/>
    <col customWidth="1" min="3" max="3" width="10.43"/>
    <col customWidth="1" min="4" max="4" width="8.71"/>
    <col customWidth="1" min="5" max="5" width="12.57"/>
    <col customWidth="1" min="6" max="6" width="8.57"/>
    <col customWidth="1" min="7" max="7" width="8.71"/>
    <col customWidth="1" min="8" max="8" width="14.29"/>
    <col customWidth="1" min="9" max="9" width="19.43"/>
    <col customWidth="1" min="10" max="11" width="14.14"/>
    <col customWidth="1" min="12" max="26" width="8.71"/>
  </cols>
  <sheetData>
    <row r="1">
      <c r="A1" s="2" t="s">
        <v>2</v>
      </c>
      <c r="B1" s="2" t="s">
        <v>4</v>
      </c>
      <c r="C1" s="2" t="s">
        <v>5</v>
      </c>
      <c r="D1" s="2" t="s">
        <v>6</v>
      </c>
      <c r="E1" s="4" t="s">
        <v>7</v>
      </c>
      <c r="F1" s="5" t="s">
        <v>9</v>
      </c>
      <c r="G1" s="6"/>
      <c r="H1" s="5" t="s">
        <v>12</v>
      </c>
      <c r="I1" s="5" t="s">
        <v>14</v>
      </c>
      <c r="J1" s="5" t="s">
        <v>15</v>
      </c>
      <c r="K1" s="5" t="s">
        <v>16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46266.0</v>
      </c>
      <c r="B2" s="8" t="s">
        <v>17</v>
      </c>
      <c r="C2" s="8" t="s">
        <v>18</v>
      </c>
      <c r="D2" s="8">
        <v>2.0</v>
      </c>
      <c r="E2" s="9">
        <v>100000.0</v>
      </c>
      <c r="F2" s="3" t="str">
        <f t="shared" ref="F2:F13" si="1">IF(E2&gt;20000,"High","Low")</f>
        <v>High</v>
      </c>
      <c r="H2" s="3">
        <f t="shared" ref="H2:H13" si="2">COUNTIF(B2:B13,"north")</f>
        <v>3</v>
      </c>
      <c r="I2" s="3">
        <f t="shared" ref="I2:I13" si="3">SUMIF(B2:B13,"north",E2:E13)</f>
        <v>128000</v>
      </c>
      <c r="J2" s="3">
        <f>VLOOKUP(C2,price_list!$A$2:$B$6,2,FALSE)</f>
        <v>50000</v>
      </c>
      <c r="K2" s="3">
        <f t="array" ref="K2">_xlfn.xlookup(C2,price_list!$A$2:$A$6,price_list!$B$2:$B$6,"NotFind")</f>
        <v>50000</v>
      </c>
    </row>
    <row r="3">
      <c r="A3" s="7">
        <v>46271.0</v>
      </c>
      <c r="B3" s="8" t="s">
        <v>19</v>
      </c>
      <c r="C3" s="8" t="s">
        <v>18</v>
      </c>
      <c r="D3" s="8">
        <v>1.0</v>
      </c>
      <c r="E3" s="9">
        <v>50000.0</v>
      </c>
      <c r="F3" s="3" t="str">
        <f t="shared" si="1"/>
        <v>High</v>
      </c>
      <c r="H3" s="3">
        <f t="shared" si="2"/>
        <v>2</v>
      </c>
      <c r="I3" s="3">
        <f t="shared" si="3"/>
        <v>28000</v>
      </c>
      <c r="J3" s="3">
        <f>VLOOKUP(C3,price_list!$A$2:$B$6,2,FALSE)</f>
        <v>50000</v>
      </c>
      <c r="K3" s="3">
        <f t="array" ref="K3">_xlfn.xlookup(C3,price_list!$A$2:$A$6,price_list!$B$2:$B$6,"NotFind")</f>
        <v>50000</v>
      </c>
    </row>
    <row r="4">
      <c r="A4" s="7">
        <v>46276.0</v>
      </c>
      <c r="B4" s="8" t="s">
        <v>20</v>
      </c>
      <c r="C4" s="8" t="s">
        <v>18</v>
      </c>
      <c r="D4" s="8">
        <v>1.0</v>
      </c>
      <c r="E4" s="9">
        <v>50000.0</v>
      </c>
      <c r="F4" s="3" t="str">
        <f t="shared" si="1"/>
        <v>High</v>
      </c>
      <c r="H4" s="3">
        <f t="shared" si="2"/>
        <v>2</v>
      </c>
      <c r="I4" s="3">
        <f t="shared" si="3"/>
        <v>28000</v>
      </c>
      <c r="J4" s="3">
        <f>VLOOKUP(C4,price_list!$A$2:$B$6,2,FALSE)</f>
        <v>50000</v>
      </c>
      <c r="K4" s="3">
        <f t="array" ref="K4">_xlfn.xlookup(C4,price_list!$A$2:$A$6,price_list!$B$2:$B$6,"NotFind")</f>
        <v>50000</v>
      </c>
    </row>
    <row r="5">
      <c r="A5" s="7">
        <v>46269.0</v>
      </c>
      <c r="B5" s="8" t="s">
        <v>21</v>
      </c>
      <c r="C5" s="8" t="s">
        <v>11</v>
      </c>
      <c r="D5" s="8">
        <v>3.0</v>
      </c>
      <c r="E5" s="9">
        <v>36000.0</v>
      </c>
      <c r="F5" s="3" t="str">
        <f t="shared" si="1"/>
        <v>High</v>
      </c>
      <c r="H5" s="3">
        <f t="shared" si="2"/>
        <v>2</v>
      </c>
      <c r="I5" s="3">
        <f t="shared" si="3"/>
        <v>28000</v>
      </c>
      <c r="J5" s="3">
        <f>VLOOKUP(C5,price_list!$A$2:$B$6,2,FALSE)</f>
        <v>12000</v>
      </c>
      <c r="K5" s="3">
        <f t="array" ref="K5">_xlfn.xlookup(C5,price_list!$A$2:$A$6,price_list!$B$2:$B$6,"NotFind")</f>
        <v>12000</v>
      </c>
    </row>
    <row r="6">
      <c r="A6" s="7">
        <v>46272.0</v>
      </c>
      <c r="B6" s="8" t="s">
        <v>20</v>
      </c>
      <c r="C6" s="8" t="s">
        <v>11</v>
      </c>
      <c r="D6" s="8">
        <v>2.0</v>
      </c>
      <c r="E6" s="9">
        <v>24000.0</v>
      </c>
      <c r="F6" s="3" t="str">
        <f t="shared" si="1"/>
        <v>High</v>
      </c>
      <c r="H6" s="3">
        <f t="shared" si="2"/>
        <v>2</v>
      </c>
      <c r="I6" s="3">
        <f t="shared" si="3"/>
        <v>28000</v>
      </c>
      <c r="J6" s="3">
        <f>VLOOKUP(C6,price_list!$A$2:$B$6,2,FALSE)</f>
        <v>12000</v>
      </c>
      <c r="K6" s="3">
        <f t="array" ref="K6">_xlfn.xlookup(C6,price_list!$A$2:$A$6,price_list!$B$2:$B$6,"NotFind")</f>
        <v>12000</v>
      </c>
    </row>
    <row r="7">
      <c r="A7" s="7">
        <v>46275.0</v>
      </c>
      <c r="B7" s="8" t="s">
        <v>19</v>
      </c>
      <c r="C7" s="8" t="s">
        <v>13</v>
      </c>
      <c r="D7" s="8">
        <v>3.0</v>
      </c>
      <c r="E7" s="9">
        <v>24000.0</v>
      </c>
      <c r="F7" s="3" t="str">
        <f t="shared" si="1"/>
        <v>High</v>
      </c>
      <c r="H7" s="3">
        <f t="shared" si="2"/>
        <v>2</v>
      </c>
      <c r="I7" s="3">
        <f t="shared" si="3"/>
        <v>28000</v>
      </c>
      <c r="J7" s="3">
        <f>VLOOKUP(C7,price_list!$A$2:$B$6,2,FALSE)</f>
        <v>8000</v>
      </c>
      <c r="K7" s="3">
        <f t="array" ref="K7">_xlfn.xlookup(C7,price_list!$A$2:$A$6,price_list!$B$2:$B$6,"NotFind")</f>
        <v>8000</v>
      </c>
    </row>
    <row r="8">
      <c r="A8" s="7">
        <v>46270.0</v>
      </c>
      <c r="B8" s="8" t="s">
        <v>17</v>
      </c>
      <c r="C8" s="8" t="s">
        <v>13</v>
      </c>
      <c r="D8" s="8">
        <v>2.0</v>
      </c>
      <c r="E8" s="9">
        <v>16000.0</v>
      </c>
      <c r="F8" s="3" t="str">
        <f t="shared" si="1"/>
        <v>Low</v>
      </c>
      <c r="H8" s="3">
        <f t="shared" si="2"/>
        <v>2</v>
      </c>
      <c r="I8" s="3">
        <f t="shared" si="3"/>
        <v>28000</v>
      </c>
      <c r="J8" s="3">
        <f>VLOOKUP(C8,price_list!$A$2:$B$6,2,FALSE)</f>
        <v>8000</v>
      </c>
      <c r="K8" s="3">
        <f t="array" ref="K8">_xlfn.xlookup(C8,price_list!$A$2:$A$6,price_list!$B$2:$B$6,"NotFind")</f>
        <v>8000</v>
      </c>
    </row>
    <row r="9">
      <c r="A9" s="7">
        <v>46274.0</v>
      </c>
      <c r="B9" s="8" t="s">
        <v>17</v>
      </c>
      <c r="C9" s="8" t="s">
        <v>10</v>
      </c>
      <c r="D9" s="8">
        <v>8.0</v>
      </c>
      <c r="E9" s="9">
        <v>12000.0</v>
      </c>
      <c r="F9" s="3" t="str">
        <f t="shared" si="1"/>
        <v>Low</v>
      </c>
      <c r="H9" s="3">
        <f t="shared" si="2"/>
        <v>1</v>
      </c>
      <c r="I9" s="3">
        <f t="shared" si="3"/>
        <v>12000</v>
      </c>
      <c r="J9" s="3">
        <f>VLOOKUP(C9,price_list!$A$2:$B$6,2,FALSE)</f>
        <v>1500</v>
      </c>
      <c r="K9" s="3">
        <f t="array" ref="K9">_xlfn.xlookup(C9,price_list!$A$2:$A$6,price_list!$B$2:$B$6,"NotFind")</f>
        <v>1500</v>
      </c>
    </row>
    <row r="10">
      <c r="A10" s="7">
        <v>46273.0</v>
      </c>
      <c r="B10" s="8" t="s">
        <v>21</v>
      </c>
      <c r="C10" s="8" t="s">
        <v>8</v>
      </c>
      <c r="D10" s="8">
        <v>20.0</v>
      </c>
      <c r="E10" s="9">
        <v>10000.0</v>
      </c>
      <c r="F10" s="3" t="str">
        <f t="shared" si="1"/>
        <v>Low</v>
      </c>
      <c r="H10" s="3">
        <f t="shared" si="2"/>
        <v>0</v>
      </c>
      <c r="I10" s="3">
        <f t="shared" si="3"/>
        <v>0</v>
      </c>
      <c r="J10" s="3">
        <f>VLOOKUP(C10,price_list!$A$2:$B$6,2,FALSE)</f>
        <v>500</v>
      </c>
      <c r="K10" s="3">
        <f t="array" ref="K10">_xlfn.xlookup(C10,price_list!$A$2:$A$6,price_list!$B$2:$B$6,"NotFind")</f>
        <v>500</v>
      </c>
    </row>
    <row r="11">
      <c r="A11" s="7">
        <v>46268.0</v>
      </c>
      <c r="B11" s="8" t="s">
        <v>20</v>
      </c>
      <c r="C11" s="8" t="s">
        <v>10</v>
      </c>
      <c r="D11" s="8">
        <v>5.0</v>
      </c>
      <c r="E11" s="9">
        <v>7500.0</v>
      </c>
      <c r="F11" s="3" t="str">
        <f t="shared" si="1"/>
        <v>Low</v>
      </c>
      <c r="H11" s="3">
        <f t="shared" si="2"/>
        <v>0</v>
      </c>
      <c r="I11" s="3">
        <f t="shared" si="3"/>
        <v>0</v>
      </c>
      <c r="J11" s="3">
        <f>VLOOKUP(C11,price_list!$A$2:$B$6,2,FALSE)</f>
        <v>1500</v>
      </c>
      <c r="K11" s="3">
        <f t="array" ref="K11">_xlfn.xlookup(C11,price_list!$A$2:$A$6,price_list!$B$2:$B$6,"NotFind")</f>
        <v>1500</v>
      </c>
    </row>
    <row r="12">
      <c r="A12" s="7">
        <v>46277.0</v>
      </c>
      <c r="B12" s="8" t="s">
        <v>21</v>
      </c>
      <c r="C12" s="8" t="s">
        <v>10</v>
      </c>
      <c r="D12" s="8">
        <v>4.0</v>
      </c>
      <c r="E12" s="9">
        <v>6000.0</v>
      </c>
      <c r="F12" s="3" t="str">
        <f t="shared" si="1"/>
        <v>Low</v>
      </c>
      <c r="H12" s="3">
        <f t="shared" si="2"/>
        <v>0</v>
      </c>
      <c r="I12" s="3">
        <f t="shared" si="3"/>
        <v>0</v>
      </c>
      <c r="J12" s="3">
        <f>VLOOKUP(C12,price_list!$A$2:$B$6,2,FALSE)</f>
        <v>1500</v>
      </c>
      <c r="K12" s="3">
        <f t="array" ref="K12">_xlfn.xlookup(C12,price_list!$A$2:$A$6,price_list!$B$2:$B$6,"NotFind")</f>
        <v>1500</v>
      </c>
    </row>
    <row r="13">
      <c r="A13" s="7">
        <v>46267.0</v>
      </c>
      <c r="B13" s="8" t="s">
        <v>19</v>
      </c>
      <c r="C13" s="8" t="s">
        <v>8</v>
      </c>
      <c r="D13" s="8">
        <v>10.0</v>
      </c>
      <c r="E13" s="9">
        <v>5000.0</v>
      </c>
      <c r="F13" s="3" t="str">
        <f t="shared" si="1"/>
        <v>Low</v>
      </c>
      <c r="H13" s="3">
        <f t="shared" si="2"/>
        <v>0</v>
      </c>
      <c r="I13" s="3">
        <f t="shared" si="3"/>
        <v>0</v>
      </c>
      <c r="J13" s="3">
        <f>VLOOKUP(C13,price_list!$A$2:$B$6,2,FALSE)</f>
        <v>500</v>
      </c>
      <c r="K13" s="3">
        <f t="array" ref="K13">_xlfn.xlookup(C13,price_list!$A$2:$A$6,price_list!$B$2:$B$6,"NotFind")</f>
        <v>500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3"/>
  <conditionalFormatting sqref="E2:E13">
    <cfRule type="cellIs" dxfId="0" priority="1" operator="greaterThan">
      <formula>20000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3</v>
      </c>
      <c r="B2" s="3">
        <v>50000.0</v>
      </c>
    </row>
    <row r="3">
      <c r="A3" s="3" t="s">
        <v>8</v>
      </c>
      <c r="B3" s="3">
        <v>500.0</v>
      </c>
    </row>
    <row r="4">
      <c r="A4" s="3" t="s">
        <v>10</v>
      </c>
      <c r="B4" s="3">
        <v>1500.0</v>
      </c>
    </row>
    <row r="5">
      <c r="A5" s="3" t="s">
        <v>11</v>
      </c>
      <c r="B5" s="3">
        <v>12000.0</v>
      </c>
    </row>
    <row r="6">
      <c r="A6" s="3" t="s">
        <v>13</v>
      </c>
      <c r="B6" s="3">
        <v>8000.0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2026-09-29T11:14:18Z</dcterms:created>
  <dc:creator>User</dc:creator>
</cp:coreProperties>
</file>